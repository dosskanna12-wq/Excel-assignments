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<sst xmlns="http://schemas.openxmlformats.org/spreadsheetml/2006/main" count="132" uniqueCount="103">
  <si>
    <t>Product ID</t>
  </si>
  <si>
    <t>Code</t>
  </si>
  <si>
    <t>Date</t>
  </si>
  <si>
    <t>Product Name</t>
  </si>
  <si>
    <t>Brand Name</t>
  </si>
  <si>
    <t>Product Brand</t>
  </si>
  <si>
    <t>Price ($)</t>
  </si>
  <si>
    <t>Quantity</t>
  </si>
  <si>
    <t>Category</t>
  </si>
  <si>
    <t>Updated Price ($)</t>
  </si>
  <si>
    <t>Updated Category</t>
  </si>
  <si>
    <t>typo check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</si>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</sst>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£-809]#,##0.0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F7981D"/>
      <name val="&quot;Google Sans Mono&quot;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4" numFmtId="165" xfId="0" applyFont="1" applyNumberFormat="1"/>
    <xf borderId="0" fillId="0" fontId="3" numFmtId="0" xfId="0" applyFont="1"/>
    <xf borderId="1" fillId="3" fontId="2" numFmtId="0" xfId="0" applyBorder="1" applyFill="1" applyFont="1"/>
    <xf borderId="0" fillId="0" fontId="5" numFmtId="0" xfId="0" applyFont="1"/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0" fillId="3" fontId="2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7F6000"/>
          <bgColor rgb="FF7F6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9.38"/>
    <col customWidth="1" min="7" max="9" width="12.63"/>
    <col customWidth="1" min="10" max="10" width="14.75"/>
    <col customWidth="1" min="11" max="11" width="15.38"/>
    <col customWidth="1" min="12" max="12" width="13.63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4" t="s">
        <v>12</v>
      </c>
      <c r="B2" s="5" t="str">
        <f t="shared" ref="B2:B32" si="1">RIGHT(A2, 2)</f>
        <v>US</v>
      </c>
      <c r="C2" s="6" t="str">
        <f t="shared" ref="C2:C32" si="2">TEXT(DATEVALUE(LEFT(A2, 6) &amp; "-2024"), "DD-MM-YYYY")</f>
        <v>28-01-2024</v>
      </c>
      <c r="D2" s="4" t="s">
        <v>13</v>
      </c>
      <c r="E2" s="4" t="s">
        <v>14</v>
      </c>
      <c r="F2" s="5" t="str">
        <f t="shared" ref="F2:F32" si="3">TEXTJOIN(" ", TRUE, E2, D2)</f>
        <v>Dell laptop</v>
      </c>
      <c r="G2" s="4">
        <v>1000.0</v>
      </c>
      <c r="H2" s="4">
        <v>30.0</v>
      </c>
      <c r="I2" s="4" t="s">
        <v>15</v>
      </c>
      <c r="J2" s="7">
        <f t="shared" ref="J2:J32" si="4">IF(ISBLANK(G2), AVERAGEIF(I$2:I$32, I2, G$2:G$32), G2)</f>
        <v>1000</v>
      </c>
      <c r="K2" s="8" t="str">
        <f t="shared" ref="K2:K32" si="5">IF(OR(I2="", ISBLANK(I2)), "Other", I2)</f>
        <v>Electronics</v>
      </c>
      <c r="L2" s="8" t="str">
        <f t="shared" ref="L2:L32" si="6">IF(EXACT(D2, PROPER(D2)), "Clean", "Fix")</f>
        <v>Fix</v>
      </c>
    </row>
    <row r="3" ht="15.75" customHeight="1">
      <c r="A3" s="9" t="s">
        <v>16</v>
      </c>
      <c r="B3" s="5" t="str">
        <f t="shared" si="1"/>
        <v>US</v>
      </c>
      <c r="C3" s="6" t="str">
        <f t="shared" si="2"/>
        <v>15-02-2024</v>
      </c>
      <c r="D3" s="9" t="s">
        <v>17</v>
      </c>
      <c r="E3" s="9" t="s">
        <v>18</v>
      </c>
      <c r="F3" s="5" t="str">
        <f t="shared" si="3"/>
        <v>Nike Sneakers</v>
      </c>
      <c r="G3" s="9">
        <v>80.0</v>
      </c>
      <c r="H3" s="9">
        <v>15.0</v>
      </c>
      <c r="I3" s="9" t="s">
        <v>19</v>
      </c>
      <c r="J3" s="7">
        <f t="shared" si="4"/>
        <v>80</v>
      </c>
      <c r="K3" s="8" t="str">
        <f t="shared" si="5"/>
        <v>Fashion</v>
      </c>
      <c r="L3" s="8" t="str">
        <f t="shared" si="6"/>
        <v>Clean</v>
      </c>
      <c r="N3" s="4"/>
      <c r="O3" s="4"/>
      <c r="P3" s="4"/>
      <c r="Q3" s="4"/>
      <c r="R3" s="4"/>
      <c r="S3" s="4"/>
      <c r="T3" s="4"/>
    </row>
    <row r="4" ht="15.75" customHeight="1">
      <c r="A4" s="4" t="s">
        <v>20</v>
      </c>
      <c r="B4" s="5" t="str">
        <f t="shared" si="1"/>
        <v>US</v>
      </c>
      <c r="C4" s="6" t="str">
        <f t="shared" si="2"/>
        <v>03-03-2024</v>
      </c>
      <c r="D4" s="4" t="s">
        <v>21</v>
      </c>
      <c r="E4" s="4" t="s">
        <v>22</v>
      </c>
      <c r="F4" s="5" t="str">
        <f t="shared" si="3"/>
        <v>Keurig Coffee Maker</v>
      </c>
      <c r="G4" s="4">
        <v>130.0</v>
      </c>
      <c r="H4" s="4">
        <v>40.0</v>
      </c>
      <c r="I4" s="4" t="s">
        <v>23</v>
      </c>
      <c r="J4" s="7">
        <f t="shared" si="4"/>
        <v>130</v>
      </c>
      <c r="K4" s="8" t="str">
        <f t="shared" si="5"/>
        <v>Kitchen</v>
      </c>
      <c r="L4" s="8" t="str">
        <f t="shared" si="6"/>
        <v>Clean</v>
      </c>
      <c r="N4" s="10"/>
      <c r="O4" s="4"/>
      <c r="P4" s="4"/>
      <c r="Q4" s="4"/>
      <c r="R4" s="4"/>
      <c r="S4" s="4"/>
      <c r="T4" s="4"/>
    </row>
    <row r="5" ht="15.75" customHeight="1">
      <c r="A5" s="9" t="s">
        <v>24</v>
      </c>
      <c r="B5" s="5" t="str">
        <f t="shared" si="1"/>
        <v>US</v>
      </c>
      <c r="C5" s="6" t="str">
        <f t="shared" si="2"/>
        <v>11-04-2024</v>
      </c>
      <c r="D5" s="9" t="s">
        <v>25</v>
      </c>
      <c r="E5" s="9" t="s">
        <v>26</v>
      </c>
      <c r="F5" s="5" t="str">
        <f t="shared" si="3"/>
        <v>Samsung smartphone</v>
      </c>
      <c r="G5" s="9">
        <v>900.0</v>
      </c>
      <c r="H5" s="9">
        <v>25.0</v>
      </c>
      <c r="I5" s="9" t="s">
        <v>15</v>
      </c>
      <c r="J5" s="7">
        <f t="shared" si="4"/>
        <v>900</v>
      </c>
      <c r="K5" s="8" t="str">
        <f t="shared" si="5"/>
        <v>Electronics</v>
      </c>
      <c r="L5" s="8" t="str">
        <f t="shared" si="6"/>
        <v>Fix</v>
      </c>
      <c r="N5" s="10"/>
      <c r="O5" s="4"/>
      <c r="P5" s="4"/>
      <c r="Q5" s="4"/>
      <c r="R5" s="4"/>
      <c r="S5" s="4"/>
      <c r="T5" s="4"/>
    </row>
    <row r="6" ht="15.75" customHeight="1">
      <c r="A6" s="4" t="s">
        <v>27</v>
      </c>
      <c r="B6" s="5" t="str">
        <f t="shared" si="1"/>
        <v>US</v>
      </c>
      <c r="C6" s="6" t="str">
        <f t="shared" si="2"/>
        <v>22-05-2024</v>
      </c>
      <c r="D6" s="4" t="s">
        <v>28</v>
      </c>
      <c r="E6" s="4" t="s">
        <v>29</v>
      </c>
      <c r="F6" s="5" t="str">
        <f t="shared" si="3"/>
        <v>North Face Backpack</v>
      </c>
      <c r="G6" s="4">
        <v>70.0</v>
      </c>
      <c r="H6" s="4">
        <v>20.0</v>
      </c>
      <c r="I6" s="4"/>
      <c r="J6" s="7">
        <f t="shared" si="4"/>
        <v>70</v>
      </c>
      <c r="K6" s="8" t="str">
        <f t="shared" si="5"/>
        <v>Other</v>
      </c>
      <c r="L6" s="8" t="str">
        <f t="shared" si="6"/>
        <v>Clean</v>
      </c>
    </row>
    <row r="7" ht="15.75" customHeight="1">
      <c r="A7" s="9" t="s">
        <v>30</v>
      </c>
      <c r="B7" s="5" t="str">
        <f t="shared" si="1"/>
        <v>UK</v>
      </c>
      <c r="C7" s="6" t="str">
        <f t="shared" si="2"/>
        <v>07-06-2024</v>
      </c>
      <c r="D7" s="9" t="s">
        <v>31</v>
      </c>
      <c r="E7" s="9" t="s">
        <v>32</v>
      </c>
      <c r="F7" s="5" t="str">
        <f t="shared" si="3"/>
        <v>Sony Headphones</v>
      </c>
      <c r="G7" s="11"/>
      <c r="H7" s="9">
        <v>45.0</v>
      </c>
      <c r="I7" s="9" t="s">
        <v>33</v>
      </c>
      <c r="J7" s="7">
        <f t="shared" si="4"/>
        <v>186.6666667</v>
      </c>
      <c r="K7" s="8" t="str">
        <f t="shared" si="5"/>
        <v>Electroni</v>
      </c>
      <c r="L7" s="8" t="str">
        <f t="shared" si="6"/>
        <v>Clean</v>
      </c>
    </row>
    <row r="8" ht="15.75" customHeight="1">
      <c r="A8" s="4" t="s">
        <v>34</v>
      </c>
      <c r="B8" s="5" t="str">
        <f t="shared" si="1"/>
        <v>UK</v>
      </c>
      <c r="C8" s="6" t="str">
        <f t="shared" si="2"/>
        <v>19-07-2024</v>
      </c>
      <c r="D8" s="4" t="s">
        <v>35</v>
      </c>
      <c r="E8" s="4" t="s">
        <v>36</v>
      </c>
      <c r="F8" s="5" t="str">
        <f t="shared" si="3"/>
        <v>Adidas T-shirt</v>
      </c>
      <c r="G8" s="4">
        <v>30.0</v>
      </c>
      <c r="H8" s="4">
        <v>5.0</v>
      </c>
      <c r="I8" s="4" t="s">
        <v>19</v>
      </c>
      <c r="J8" s="7">
        <f t="shared" si="4"/>
        <v>30</v>
      </c>
      <c r="K8" s="8" t="str">
        <f t="shared" si="5"/>
        <v>Fashion</v>
      </c>
      <c r="L8" s="8" t="str">
        <f t="shared" si="6"/>
        <v>Fix</v>
      </c>
    </row>
    <row r="9" ht="15.75" customHeight="1">
      <c r="A9" s="9" t="s">
        <v>37</v>
      </c>
      <c r="B9" s="5" t="str">
        <f t="shared" si="1"/>
        <v>UK</v>
      </c>
      <c r="C9" s="6" t="str">
        <f t="shared" si="2"/>
        <v>23-08-2024</v>
      </c>
      <c r="D9" s="9" t="s">
        <v>38</v>
      </c>
      <c r="E9" s="9" t="s">
        <v>39</v>
      </c>
      <c r="F9" s="5" t="str">
        <f t="shared" si="3"/>
        <v>Ninja Blender</v>
      </c>
      <c r="G9" s="9">
        <v>90.0</v>
      </c>
      <c r="H9" s="9">
        <v>35.0</v>
      </c>
      <c r="I9" s="9" t="s">
        <v>23</v>
      </c>
      <c r="J9" s="7">
        <f t="shared" si="4"/>
        <v>90</v>
      </c>
      <c r="K9" s="8" t="str">
        <f t="shared" si="5"/>
        <v>Kitchen</v>
      </c>
      <c r="L9" s="8" t="str">
        <f t="shared" si="6"/>
        <v>Clean</v>
      </c>
    </row>
    <row r="10" ht="15.75" customHeight="1">
      <c r="A10" s="4" t="s">
        <v>40</v>
      </c>
      <c r="B10" s="5" t="str">
        <f t="shared" si="1"/>
        <v>UK</v>
      </c>
      <c r="C10" s="6" t="str">
        <f t="shared" si="2"/>
        <v>05-09-2024</v>
      </c>
      <c r="D10" s="4" t="s">
        <v>41</v>
      </c>
      <c r="E10" s="4" t="s">
        <v>42</v>
      </c>
      <c r="F10" s="5" t="str">
        <f t="shared" si="3"/>
        <v>Apple Tablet</v>
      </c>
      <c r="G10" s="4">
        <v>500.0</v>
      </c>
      <c r="H10" s="4">
        <v>50.0</v>
      </c>
      <c r="I10" s="4" t="s">
        <v>15</v>
      </c>
      <c r="J10" s="7">
        <f t="shared" si="4"/>
        <v>500</v>
      </c>
      <c r="K10" s="8" t="str">
        <f t="shared" si="5"/>
        <v>Electronics</v>
      </c>
      <c r="L10" s="8" t="str">
        <f t="shared" si="6"/>
        <v>Clean</v>
      </c>
    </row>
    <row r="11" ht="15.75" customHeight="1">
      <c r="A11" s="9" t="s">
        <v>43</v>
      </c>
      <c r="B11" s="5" t="str">
        <f t="shared" si="1"/>
        <v>UK</v>
      </c>
      <c r="C11" s="6" t="str">
        <f t="shared" si="2"/>
        <v>14-10-2024</v>
      </c>
      <c r="D11" s="9" t="s">
        <v>44</v>
      </c>
      <c r="E11" s="9" t="s">
        <v>45</v>
      </c>
      <c r="F11" s="5" t="str">
        <f t="shared" si="3"/>
        <v>Timberland Hiking Boots</v>
      </c>
      <c r="G11" s="9">
        <v>130.0</v>
      </c>
      <c r="H11" s="9">
        <v>10.0</v>
      </c>
      <c r="I11" s="9" t="s">
        <v>46</v>
      </c>
      <c r="J11" s="7">
        <f t="shared" si="4"/>
        <v>130</v>
      </c>
      <c r="K11" s="8" t="str">
        <f t="shared" si="5"/>
        <v>Outdoor</v>
      </c>
      <c r="L11" s="8" t="str">
        <f t="shared" si="6"/>
        <v>Clean</v>
      </c>
    </row>
    <row r="12" ht="15.75" customHeight="1">
      <c r="A12" s="4" t="s">
        <v>47</v>
      </c>
      <c r="B12" s="5" t="str">
        <f t="shared" si="1"/>
        <v>IN</v>
      </c>
      <c r="C12" s="6" t="str">
        <f t="shared" si="2"/>
        <v>17-06-2024</v>
      </c>
      <c r="D12" s="4" t="s">
        <v>48</v>
      </c>
      <c r="E12" s="4" t="s">
        <v>49</v>
      </c>
      <c r="F12" s="5" t="str">
        <f t="shared" si="3"/>
        <v>HP Laptop</v>
      </c>
      <c r="G12" s="4">
        <v>950.0</v>
      </c>
      <c r="H12" s="4">
        <v>25.0</v>
      </c>
      <c r="I12" s="4" t="s">
        <v>15</v>
      </c>
      <c r="J12" s="7">
        <f t="shared" si="4"/>
        <v>950</v>
      </c>
      <c r="K12" s="8" t="str">
        <f t="shared" si="5"/>
        <v>Electronics</v>
      </c>
      <c r="L12" s="8" t="str">
        <f t="shared" si="6"/>
        <v>Clean</v>
      </c>
    </row>
    <row r="13" ht="15.75" customHeight="1">
      <c r="A13" s="9" t="s">
        <v>50</v>
      </c>
      <c r="B13" s="5" t="str">
        <f t="shared" si="1"/>
        <v>AU</v>
      </c>
      <c r="C13" s="6" t="str">
        <f t="shared" si="2"/>
        <v>25-11-2024</v>
      </c>
      <c r="D13" s="9" t="s">
        <v>17</v>
      </c>
      <c r="E13" s="9" t="s">
        <v>36</v>
      </c>
      <c r="F13" s="5" t="str">
        <f t="shared" si="3"/>
        <v>Adidas Sneakers</v>
      </c>
      <c r="G13" s="9">
        <v>90.0</v>
      </c>
      <c r="H13" s="9">
        <v>40.0</v>
      </c>
      <c r="I13" s="9"/>
      <c r="J13" s="7">
        <f t="shared" si="4"/>
        <v>90</v>
      </c>
      <c r="K13" s="8" t="str">
        <f t="shared" si="5"/>
        <v>Other</v>
      </c>
      <c r="L13" s="8" t="str">
        <f t="shared" si="6"/>
        <v>Clean</v>
      </c>
    </row>
    <row r="14" ht="15.75" customHeight="1">
      <c r="A14" s="4" t="s">
        <v>51</v>
      </c>
      <c r="B14" s="5" t="str">
        <f t="shared" si="1"/>
        <v>DE</v>
      </c>
      <c r="C14" s="6" t="str">
        <f t="shared" si="2"/>
        <v>08-12-2024</v>
      </c>
      <c r="D14" s="4" t="s">
        <v>21</v>
      </c>
      <c r="E14" s="4" t="s">
        <v>52</v>
      </c>
      <c r="F14" s="5" t="str">
        <f t="shared" si="3"/>
        <v>Nespresso Coffee Maker</v>
      </c>
      <c r="G14" s="4">
        <v>120.0</v>
      </c>
      <c r="H14" s="4">
        <v>35.0</v>
      </c>
      <c r="I14" s="4"/>
      <c r="J14" s="7">
        <f t="shared" si="4"/>
        <v>120</v>
      </c>
      <c r="K14" s="8" t="str">
        <f t="shared" si="5"/>
        <v>Other</v>
      </c>
      <c r="L14" s="8" t="str">
        <f t="shared" si="6"/>
        <v>Clean</v>
      </c>
    </row>
    <row r="15" ht="15.75" customHeight="1">
      <c r="A15" s="9" t="s">
        <v>53</v>
      </c>
      <c r="B15" s="5" t="str">
        <f t="shared" si="1"/>
        <v>CA</v>
      </c>
      <c r="C15" s="6" t="str">
        <f t="shared" si="2"/>
        <v>18-02-2024</v>
      </c>
      <c r="D15" s="9" t="s">
        <v>54</v>
      </c>
      <c r="E15" s="9" t="s">
        <v>55</v>
      </c>
      <c r="F15" s="5" t="str">
        <f t="shared" si="3"/>
        <v>Fitbit Smartwatch</v>
      </c>
      <c r="G15" s="9">
        <v>150.0</v>
      </c>
      <c r="H15" s="9">
        <v>15.0</v>
      </c>
      <c r="I15" s="9" t="s">
        <v>33</v>
      </c>
      <c r="J15" s="7">
        <f t="shared" si="4"/>
        <v>150</v>
      </c>
      <c r="K15" s="8" t="str">
        <f t="shared" si="5"/>
        <v>Electroni</v>
      </c>
      <c r="L15" s="8" t="str">
        <f t="shared" si="6"/>
        <v>Clean</v>
      </c>
    </row>
    <row r="16" ht="15.75" customHeight="1">
      <c r="A16" s="4" t="s">
        <v>56</v>
      </c>
      <c r="B16" s="5" t="str">
        <f t="shared" si="1"/>
        <v>ES</v>
      </c>
      <c r="C16" s="6" t="str">
        <f t="shared" si="2"/>
        <v>16-04-2024</v>
      </c>
      <c r="D16" s="4" t="s">
        <v>57</v>
      </c>
      <c r="E16" s="4" t="s">
        <v>58</v>
      </c>
      <c r="F16" s="5" t="str">
        <f t="shared" si="3"/>
        <v>Bose headphones</v>
      </c>
      <c r="G16" s="4">
        <v>250.0</v>
      </c>
      <c r="H16" s="4">
        <v>20.0</v>
      </c>
      <c r="I16" s="4" t="s">
        <v>33</v>
      </c>
      <c r="J16" s="7">
        <f t="shared" si="4"/>
        <v>250</v>
      </c>
      <c r="K16" s="8" t="str">
        <f t="shared" si="5"/>
        <v>Electroni</v>
      </c>
      <c r="L16" s="8" t="str">
        <f t="shared" si="6"/>
        <v>Fix</v>
      </c>
    </row>
    <row r="17" ht="15.75" customHeight="1">
      <c r="A17" s="9" t="s">
        <v>59</v>
      </c>
      <c r="B17" s="5" t="str">
        <f t="shared" si="1"/>
        <v>CA</v>
      </c>
      <c r="C17" s="6" t="str">
        <f t="shared" si="2"/>
        <v>21-08-2024</v>
      </c>
      <c r="D17" s="9" t="s">
        <v>60</v>
      </c>
      <c r="E17" s="9" t="s">
        <v>61</v>
      </c>
      <c r="F17" s="5" t="str">
        <f t="shared" si="3"/>
        <v>Samsonite Laptop Bag</v>
      </c>
      <c r="G17" s="9">
        <v>50.0</v>
      </c>
      <c r="H17" s="9">
        <v>35.0</v>
      </c>
      <c r="I17" s="9" t="s">
        <v>62</v>
      </c>
      <c r="J17" s="7">
        <f t="shared" si="4"/>
        <v>50</v>
      </c>
      <c r="K17" s="8" t="str">
        <f t="shared" si="5"/>
        <v>Accessories</v>
      </c>
      <c r="L17" s="8" t="str">
        <f t="shared" si="6"/>
        <v>Clean</v>
      </c>
    </row>
    <row r="18" ht="15.75" customHeight="1">
      <c r="A18" s="4" t="s">
        <v>63</v>
      </c>
      <c r="B18" s="5" t="str">
        <f t="shared" si="1"/>
        <v>CN</v>
      </c>
      <c r="C18" s="6" t="str">
        <f t="shared" si="2"/>
        <v>20-08-2024</v>
      </c>
      <c r="D18" s="4" t="s">
        <v>54</v>
      </c>
      <c r="E18" s="4" t="s">
        <v>64</v>
      </c>
      <c r="F18" s="5" t="str">
        <f t="shared" si="3"/>
        <v>Huawei Smartwatch</v>
      </c>
      <c r="G18" s="4">
        <v>160.0</v>
      </c>
      <c r="H18" s="4">
        <v>15.0</v>
      </c>
      <c r="I18" s="4" t="s">
        <v>33</v>
      </c>
      <c r="J18" s="7">
        <f t="shared" si="4"/>
        <v>160</v>
      </c>
      <c r="K18" s="8" t="str">
        <f t="shared" si="5"/>
        <v>Electroni</v>
      </c>
      <c r="L18" s="8" t="str">
        <f t="shared" si="6"/>
        <v>Clean</v>
      </c>
    </row>
    <row r="19" ht="15.75" customHeight="1">
      <c r="A19" s="9" t="s">
        <v>65</v>
      </c>
      <c r="B19" s="5" t="str">
        <f t="shared" si="1"/>
        <v>IT</v>
      </c>
      <c r="C19" s="6" t="str">
        <f t="shared" si="2"/>
        <v>27-01-2024</v>
      </c>
      <c r="D19" s="9" t="s">
        <v>13</v>
      </c>
      <c r="E19" s="9" t="s">
        <v>66</v>
      </c>
      <c r="F19" s="5" t="str">
        <f t="shared" si="3"/>
        <v>Asus laptop</v>
      </c>
      <c r="G19" s="9">
        <v>980.0</v>
      </c>
      <c r="H19" s="9">
        <v>10.0</v>
      </c>
      <c r="I19" s="9" t="s">
        <v>15</v>
      </c>
      <c r="J19" s="7">
        <f t="shared" si="4"/>
        <v>980</v>
      </c>
      <c r="K19" s="8" t="str">
        <f t="shared" si="5"/>
        <v>Electronics</v>
      </c>
      <c r="L19" s="8" t="str">
        <f t="shared" si="6"/>
        <v>Fix</v>
      </c>
    </row>
    <row r="20" ht="15.75" customHeight="1">
      <c r="A20" s="4" t="s">
        <v>67</v>
      </c>
      <c r="B20" s="5" t="str">
        <f t="shared" si="1"/>
        <v>UK</v>
      </c>
      <c r="C20" s="6" t="str">
        <f t="shared" si="2"/>
        <v>01-03-2024</v>
      </c>
      <c r="D20" s="4" t="s">
        <v>68</v>
      </c>
      <c r="E20" s="4" t="s">
        <v>69</v>
      </c>
      <c r="F20" s="5" t="str">
        <f t="shared" si="3"/>
        <v>Oakley Sunglasses</v>
      </c>
      <c r="G20" s="4">
        <v>150.0</v>
      </c>
      <c r="H20" s="4">
        <v>15.0</v>
      </c>
      <c r="I20" s="4" t="s">
        <v>19</v>
      </c>
      <c r="J20" s="7">
        <f t="shared" si="4"/>
        <v>150</v>
      </c>
      <c r="K20" s="8" t="str">
        <f t="shared" si="5"/>
        <v>Fashion</v>
      </c>
      <c r="L20" s="8" t="str">
        <f t="shared" si="6"/>
        <v>Clean</v>
      </c>
    </row>
    <row r="21" ht="15.75" customHeight="1">
      <c r="A21" s="9" t="s">
        <v>70</v>
      </c>
      <c r="B21" s="5" t="str">
        <f t="shared" si="1"/>
        <v>US</v>
      </c>
      <c r="C21" s="6" t="str">
        <f t="shared" si="2"/>
        <v>14-08-2024</v>
      </c>
      <c r="D21" s="9" t="s">
        <v>71</v>
      </c>
      <c r="E21" s="9" t="s">
        <v>72</v>
      </c>
      <c r="F21" s="5" t="str">
        <f t="shared" si="3"/>
        <v>Coleman Camping Tent</v>
      </c>
      <c r="G21" s="9"/>
      <c r="H21" s="9">
        <v>10.0</v>
      </c>
      <c r="I21" s="9" t="s">
        <v>46</v>
      </c>
      <c r="J21" s="7">
        <f t="shared" si="4"/>
        <v>130</v>
      </c>
      <c r="K21" s="8" t="str">
        <f t="shared" si="5"/>
        <v>Outdoor</v>
      </c>
      <c r="L21" s="8" t="str">
        <f t="shared" si="6"/>
        <v>Clean</v>
      </c>
    </row>
    <row r="22" ht="15.75" customHeight="1">
      <c r="A22" s="4" t="s">
        <v>73</v>
      </c>
      <c r="B22" s="5" t="str">
        <f t="shared" si="1"/>
        <v>RU</v>
      </c>
      <c r="C22" s="6" t="str">
        <f t="shared" si="2"/>
        <v>14-05-2024</v>
      </c>
      <c r="D22" s="4" t="s">
        <v>74</v>
      </c>
      <c r="E22" s="4" t="s">
        <v>75</v>
      </c>
      <c r="F22" s="5" t="str">
        <f t="shared" si="3"/>
        <v>Nikon Camera</v>
      </c>
      <c r="G22" s="4">
        <v>700.0</v>
      </c>
      <c r="H22" s="4">
        <v>50.0</v>
      </c>
      <c r="I22" s="4" t="s">
        <v>15</v>
      </c>
      <c r="J22" s="7">
        <f t="shared" si="4"/>
        <v>700</v>
      </c>
      <c r="K22" s="8" t="str">
        <f t="shared" si="5"/>
        <v>Electronics</v>
      </c>
      <c r="L22" s="8" t="str">
        <f t="shared" si="6"/>
        <v>Clean</v>
      </c>
    </row>
    <row r="23" ht="15.75" customHeight="1">
      <c r="A23" s="9" t="s">
        <v>76</v>
      </c>
      <c r="B23" s="5" t="str">
        <f t="shared" si="1"/>
        <v>CA</v>
      </c>
      <c r="C23" s="6" t="str">
        <f t="shared" si="2"/>
        <v>09-01-2024</v>
      </c>
      <c r="D23" s="9" t="s">
        <v>77</v>
      </c>
      <c r="E23" s="9" t="s">
        <v>78</v>
      </c>
      <c r="F23" s="5" t="str">
        <f t="shared" si="3"/>
        <v>Panasonic Microwave</v>
      </c>
      <c r="G23" s="9">
        <v>80.0</v>
      </c>
      <c r="H23" s="9">
        <v>20.0</v>
      </c>
      <c r="I23" s="9" t="s">
        <v>23</v>
      </c>
      <c r="J23" s="7">
        <f t="shared" si="4"/>
        <v>80</v>
      </c>
      <c r="K23" s="8" t="str">
        <f t="shared" si="5"/>
        <v>Kitchen</v>
      </c>
      <c r="L23" s="8" t="str">
        <f t="shared" si="6"/>
        <v>Clean</v>
      </c>
    </row>
    <row r="24" ht="15.75" customHeight="1">
      <c r="A24" s="4" t="s">
        <v>79</v>
      </c>
      <c r="B24" s="5" t="str">
        <f t="shared" si="1"/>
        <v>BR</v>
      </c>
      <c r="C24" s="6" t="str">
        <f t="shared" si="2"/>
        <v>19-07-2024</v>
      </c>
      <c r="D24" s="4" t="s">
        <v>80</v>
      </c>
      <c r="E24" s="4" t="s">
        <v>81</v>
      </c>
      <c r="F24" s="5" t="str">
        <f t="shared" si="3"/>
        <v>Xiaomi Fitness Tracker</v>
      </c>
      <c r="G24" s="4">
        <v>150.0</v>
      </c>
      <c r="H24" s="4">
        <v>30.0</v>
      </c>
      <c r="I24" s="4"/>
      <c r="J24" s="7">
        <f t="shared" si="4"/>
        <v>150</v>
      </c>
      <c r="K24" s="8" t="str">
        <f t="shared" si="5"/>
        <v>Other</v>
      </c>
      <c r="L24" s="8" t="str">
        <f t="shared" si="6"/>
        <v>Clean</v>
      </c>
    </row>
    <row r="25" ht="15.75" customHeight="1">
      <c r="A25" s="12" t="s">
        <v>82</v>
      </c>
      <c r="B25" s="5" t="str">
        <f t="shared" si="1"/>
        <v>CA</v>
      </c>
      <c r="C25" s="6" t="str">
        <f t="shared" si="2"/>
        <v>29-09-2024</v>
      </c>
      <c r="D25" s="12" t="s">
        <v>83</v>
      </c>
      <c r="E25" s="12" t="s">
        <v>84</v>
      </c>
      <c r="F25" s="5" t="str">
        <f t="shared" si="3"/>
        <v>Google Smartphone</v>
      </c>
      <c r="G25" s="12">
        <v>800.0</v>
      </c>
      <c r="H25" s="12">
        <v>45.0</v>
      </c>
      <c r="I25" s="12" t="s">
        <v>15</v>
      </c>
      <c r="J25" s="7">
        <f t="shared" si="4"/>
        <v>800</v>
      </c>
      <c r="K25" s="8" t="str">
        <f t="shared" si="5"/>
        <v>Electronics</v>
      </c>
      <c r="L25" s="8" t="str">
        <f t="shared" si="6"/>
        <v>Clean</v>
      </c>
    </row>
    <row r="26" ht="15.75" customHeight="1">
      <c r="A26" s="13" t="s">
        <v>85</v>
      </c>
      <c r="B26" s="5" t="str">
        <f t="shared" si="1"/>
        <v>CA</v>
      </c>
      <c r="C26" s="6" t="str">
        <f t="shared" si="2"/>
        <v>03-06-2024</v>
      </c>
      <c r="D26" s="13" t="s">
        <v>68</v>
      </c>
      <c r="E26" s="13" t="s">
        <v>86</v>
      </c>
      <c r="F26" s="5" t="str">
        <f t="shared" si="3"/>
        <v>Ray-Ban Sunglasses</v>
      </c>
      <c r="G26" s="13"/>
      <c r="H26" s="13">
        <v>25.0</v>
      </c>
      <c r="I26" s="13" t="s">
        <v>19</v>
      </c>
      <c r="J26" s="7">
        <f t="shared" si="4"/>
        <v>74</v>
      </c>
      <c r="K26" s="8" t="str">
        <f t="shared" si="5"/>
        <v>Fashion</v>
      </c>
      <c r="L26" s="8" t="str">
        <f t="shared" si="6"/>
        <v>Clean</v>
      </c>
    </row>
    <row r="27" ht="15.75" customHeight="1">
      <c r="A27" s="12" t="s">
        <v>87</v>
      </c>
      <c r="B27" s="5" t="str">
        <f t="shared" si="1"/>
        <v>CA</v>
      </c>
      <c r="C27" s="6" t="str">
        <f t="shared" si="2"/>
        <v>11-07-2024</v>
      </c>
      <c r="D27" s="12" t="s">
        <v>38</v>
      </c>
      <c r="E27" s="12" t="s">
        <v>88</v>
      </c>
      <c r="F27" s="5" t="str">
        <f t="shared" si="3"/>
        <v>Vitamix Blender</v>
      </c>
      <c r="G27" s="12">
        <v>400.0</v>
      </c>
      <c r="H27" s="12">
        <v>40.0</v>
      </c>
      <c r="I27" s="12" t="s">
        <v>23</v>
      </c>
      <c r="J27" s="7">
        <f t="shared" si="4"/>
        <v>400</v>
      </c>
      <c r="K27" s="8" t="str">
        <f t="shared" si="5"/>
        <v>Kitchen</v>
      </c>
      <c r="L27" s="8" t="str">
        <f t="shared" si="6"/>
        <v>Clean</v>
      </c>
    </row>
    <row r="28" ht="15.75" customHeight="1">
      <c r="A28" s="4" t="s">
        <v>89</v>
      </c>
      <c r="B28" s="5" t="str">
        <f t="shared" si="1"/>
        <v>CA</v>
      </c>
      <c r="C28" s="6" t="str">
        <f t="shared" si="2"/>
        <v>07-03-2024</v>
      </c>
      <c r="D28" s="4" t="s">
        <v>90</v>
      </c>
      <c r="E28" s="4" t="s">
        <v>91</v>
      </c>
      <c r="F28" s="5" t="str">
        <f t="shared" si="3"/>
        <v>Zara Dress</v>
      </c>
      <c r="G28" s="4">
        <v>60.0</v>
      </c>
      <c r="H28" s="4">
        <v>30.0</v>
      </c>
      <c r="I28" s="4" t="s">
        <v>19</v>
      </c>
      <c r="J28" s="7">
        <f t="shared" si="4"/>
        <v>60</v>
      </c>
      <c r="K28" s="8" t="str">
        <f t="shared" si="5"/>
        <v>Fashion</v>
      </c>
      <c r="L28" s="8" t="str">
        <f t="shared" si="6"/>
        <v>Clean</v>
      </c>
    </row>
    <row r="29" ht="15.75" customHeight="1">
      <c r="A29" s="9" t="s">
        <v>92</v>
      </c>
      <c r="B29" s="5" t="str">
        <f t="shared" si="1"/>
        <v>CA</v>
      </c>
      <c r="C29" s="6" t="str">
        <f t="shared" si="2"/>
        <v>13-04-2024</v>
      </c>
      <c r="D29" s="9" t="s">
        <v>93</v>
      </c>
      <c r="E29" s="9" t="s">
        <v>94</v>
      </c>
      <c r="F29" s="5" t="str">
        <f t="shared" si="3"/>
        <v>Hamilton Toaster</v>
      </c>
      <c r="G29" s="9">
        <v>40.0</v>
      </c>
      <c r="H29" s="9">
        <v>10.0</v>
      </c>
      <c r="I29" s="9" t="s">
        <v>23</v>
      </c>
      <c r="J29" s="7">
        <f t="shared" si="4"/>
        <v>40</v>
      </c>
      <c r="K29" s="8" t="str">
        <f t="shared" si="5"/>
        <v>Kitchen</v>
      </c>
      <c r="L29" s="8" t="str">
        <f t="shared" si="6"/>
        <v>Clean</v>
      </c>
    </row>
    <row r="30" ht="15.75" customHeight="1">
      <c r="A30" s="4" t="s">
        <v>95</v>
      </c>
      <c r="B30" s="5" t="str">
        <f t="shared" si="1"/>
        <v>CA</v>
      </c>
      <c r="C30" s="6" t="str">
        <f t="shared" si="2"/>
        <v>24-05-2024</v>
      </c>
      <c r="D30" s="4" t="s">
        <v>80</v>
      </c>
      <c r="E30" s="4" t="s">
        <v>96</v>
      </c>
      <c r="F30" s="5" t="str">
        <f t="shared" si="3"/>
        <v>Garmin Fitness Tracker</v>
      </c>
      <c r="G30" s="4">
        <v>130.0</v>
      </c>
      <c r="H30" s="4">
        <v>5.0</v>
      </c>
      <c r="I30" s="4" t="s">
        <v>15</v>
      </c>
      <c r="J30" s="7">
        <f t="shared" si="4"/>
        <v>130</v>
      </c>
      <c r="K30" s="8" t="str">
        <f t="shared" si="5"/>
        <v>Electronics</v>
      </c>
      <c r="L30" s="8" t="str">
        <f t="shared" si="6"/>
        <v>Clean</v>
      </c>
    </row>
    <row r="31" ht="15.75" customHeight="1">
      <c r="A31" s="9" t="s">
        <v>97</v>
      </c>
      <c r="B31" s="5" t="str">
        <f t="shared" si="1"/>
        <v>CA</v>
      </c>
      <c r="C31" s="6" t="str">
        <f t="shared" si="2"/>
        <v>02-12-2024</v>
      </c>
      <c r="D31" s="9" t="s">
        <v>98</v>
      </c>
      <c r="E31" s="9" t="s">
        <v>99</v>
      </c>
      <c r="F31" s="5" t="str">
        <f t="shared" si="3"/>
        <v>Levi's Jeans</v>
      </c>
      <c r="G31" s="9">
        <v>50.0</v>
      </c>
      <c r="H31" s="9">
        <v>50.0</v>
      </c>
      <c r="I31" s="9" t="s">
        <v>19</v>
      </c>
      <c r="J31" s="7">
        <f t="shared" si="4"/>
        <v>50</v>
      </c>
      <c r="K31" s="8" t="str">
        <f t="shared" si="5"/>
        <v>Fashion</v>
      </c>
      <c r="L31" s="8" t="str">
        <f t="shared" si="6"/>
        <v>Clean</v>
      </c>
    </row>
    <row r="32" ht="15.75" customHeight="1">
      <c r="A32" s="13" t="s">
        <v>100</v>
      </c>
      <c r="B32" s="5" t="str">
        <f t="shared" si="1"/>
        <v>FR</v>
      </c>
      <c r="C32" s="6" t="str">
        <f t="shared" si="2"/>
        <v>09-07-2024</v>
      </c>
      <c r="D32" s="13" t="s">
        <v>101</v>
      </c>
      <c r="E32" s="13" t="s">
        <v>102</v>
      </c>
      <c r="F32" s="5" t="str">
        <f t="shared" si="3"/>
        <v>Casio Watch</v>
      </c>
      <c r="G32" s="13">
        <v>100.0</v>
      </c>
      <c r="H32" s="13">
        <v>20.0</v>
      </c>
      <c r="I32" s="13" t="s">
        <v>62</v>
      </c>
      <c r="J32" s="7">
        <f t="shared" si="4"/>
        <v>100</v>
      </c>
      <c r="K32" s="8" t="str">
        <f t="shared" si="5"/>
        <v>Accessories</v>
      </c>
      <c r="L32" s="8" t="str">
        <f t="shared" si="6"/>
        <v>Clean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:J32">
    <cfRule type="colorScale" priority="1">
      <colorScale>
        <cfvo type="min"/>
        <cfvo type="max"/>
        <color rgb="FFFFFFFF"/>
        <color rgb="FF7F6000"/>
      </colorScale>
    </cfRule>
  </conditionalFormatting>
  <conditionalFormatting sqref="K2:K32">
    <cfRule type="expression" dxfId="0" priority="2">
      <formula>K2="Electronics"</formula>
    </cfRule>
  </conditionalFormatting>
  <printOptions/>
  <pageMargins bottom="1.0" footer="0.0" header="0.0" left="0.75" right="0.75" top="1.0"/>
  <pageSetup orientation="landscape"/>
  <drawing r:id="rId1"/>
</worksheet>
</file>